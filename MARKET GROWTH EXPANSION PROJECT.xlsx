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0" windowWidth="19140" windowHeight="6840" activeTab="1"/>
  </bookViews>
  <sheets>
    <sheet name="RAW DATA " sheetId="1" r:id="rId1"/>
    <sheet name="NORMALIZATION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externalReferences>
    <externalReference r:id="rId11"/>
  </externalReferences>
  <calcPr calcId="145621"/>
</workbook>
</file>

<file path=xl/calcChain.xml><?xml version="1.0" encoding="utf-8"?>
<calcChain xmlns="http://schemas.openxmlformats.org/spreadsheetml/2006/main">
  <c r="B3" i="2" l="1"/>
  <c r="I2" i="2" l="1"/>
  <c r="D4" i="2"/>
  <c r="D3" i="2"/>
  <c r="D2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C5" i="2"/>
  <c r="I3" i="2"/>
  <c r="J3" i="2"/>
  <c r="J4" i="2"/>
  <c r="J16" i="2"/>
  <c r="J17" i="2"/>
  <c r="J9" i="2"/>
  <c r="J13" i="2"/>
  <c r="J11" i="2"/>
  <c r="J5" i="2"/>
  <c r="J15" i="2"/>
  <c r="J10" i="2"/>
  <c r="J6" i="2"/>
  <c r="J19" i="2"/>
  <c r="J14" i="2"/>
  <c r="J12" i="2"/>
  <c r="J7" i="2"/>
  <c r="J18" i="2"/>
  <c r="J20" i="2"/>
  <c r="J8" i="2"/>
  <c r="J2" i="2"/>
  <c r="I4" i="2"/>
  <c r="I16" i="2"/>
  <c r="I17" i="2"/>
  <c r="I9" i="2"/>
  <c r="I13" i="2"/>
  <c r="I11" i="2"/>
  <c r="I5" i="2"/>
  <c r="I15" i="2"/>
  <c r="I10" i="2"/>
  <c r="I6" i="2"/>
  <c r="I19" i="2"/>
  <c r="I14" i="2"/>
  <c r="I12" i="2"/>
  <c r="I7" i="2"/>
  <c r="I18" i="2"/>
  <c r="I20" i="2"/>
  <c r="I8" i="2"/>
  <c r="H3" i="2"/>
  <c r="H4" i="2"/>
  <c r="H16" i="2"/>
  <c r="H17" i="2"/>
  <c r="H9" i="2"/>
  <c r="H13" i="2"/>
  <c r="H11" i="2"/>
  <c r="H5" i="2"/>
  <c r="H15" i="2"/>
  <c r="H10" i="2"/>
  <c r="H6" i="2"/>
  <c r="H19" i="2"/>
  <c r="H14" i="2"/>
  <c r="H12" i="2"/>
  <c r="H7" i="2"/>
  <c r="H18" i="2"/>
  <c r="H20" i="2"/>
  <c r="H8" i="2"/>
  <c r="H2" i="2"/>
  <c r="G3" i="2"/>
  <c r="G4" i="2"/>
  <c r="G16" i="2"/>
  <c r="G17" i="2"/>
  <c r="G9" i="2"/>
  <c r="G13" i="2"/>
  <c r="G11" i="2"/>
  <c r="G5" i="2"/>
  <c r="G15" i="2"/>
  <c r="G10" i="2"/>
  <c r="G6" i="2"/>
  <c r="G19" i="2"/>
  <c r="G14" i="2"/>
  <c r="G12" i="2"/>
  <c r="G7" i="2"/>
  <c r="G18" i="2"/>
  <c r="G20" i="2"/>
  <c r="G8" i="2"/>
  <c r="G2" i="2"/>
  <c r="F3" i="2"/>
  <c r="F4" i="2"/>
  <c r="F16" i="2"/>
  <c r="F17" i="2"/>
  <c r="F9" i="2"/>
  <c r="F13" i="2"/>
  <c r="F11" i="2"/>
  <c r="F5" i="2"/>
  <c r="F15" i="2"/>
  <c r="F10" i="2"/>
  <c r="F6" i="2"/>
  <c r="F19" i="2"/>
  <c r="F14" i="2"/>
  <c r="F12" i="2"/>
  <c r="F7" i="2"/>
  <c r="F18" i="2"/>
  <c r="F20" i="2"/>
  <c r="F8" i="2"/>
  <c r="F2" i="2"/>
  <c r="E3" i="2"/>
  <c r="E4" i="2"/>
  <c r="E16" i="2"/>
  <c r="E17" i="2"/>
  <c r="E9" i="2"/>
  <c r="E13" i="2"/>
  <c r="E11" i="2"/>
  <c r="E5" i="2"/>
  <c r="E15" i="2"/>
  <c r="E10" i="2"/>
  <c r="E6" i="2"/>
  <c r="E19" i="2"/>
  <c r="E14" i="2"/>
  <c r="E12" i="2"/>
  <c r="E7" i="2"/>
  <c r="E18" i="2"/>
  <c r="E20" i="2"/>
  <c r="E8" i="2"/>
  <c r="E2" i="2"/>
  <c r="C3" i="2"/>
  <c r="C4" i="2"/>
  <c r="C16" i="2"/>
  <c r="C17" i="2"/>
  <c r="C9" i="2"/>
  <c r="C13" i="2"/>
  <c r="C11" i="2"/>
  <c r="C15" i="2"/>
  <c r="C10" i="2"/>
  <c r="C6" i="2"/>
  <c r="C19" i="2"/>
  <c r="C14" i="2"/>
  <c r="C12" i="2"/>
  <c r="C7" i="2"/>
  <c r="C18" i="2"/>
  <c r="C20" i="2"/>
  <c r="C8" i="2"/>
  <c r="C2" i="2"/>
  <c r="B11" i="2"/>
  <c r="K11" i="2" s="1"/>
  <c r="B5" i="2"/>
  <c r="B15" i="2"/>
  <c r="K15" i="2" s="1"/>
  <c r="B10" i="2"/>
  <c r="K10" i="2" s="1"/>
  <c r="B6" i="2"/>
  <c r="K6" i="2" s="1"/>
  <c r="B19" i="2"/>
  <c r="B14" i="2"/>
  <c r="K14" i="2" s="1"/>
  <c r="B12" i="2"/>
  <c r="K12" i="2" s="1"/>
  <c r="B7" i="2"/>
  <c r="K7" i="2" s="1"/>
  <c r="B18" i="2"/>
  <c r="B20" i="2"/>
  <c r="B8" i="2"/>
  <c r="B4" i="2"/>
  <c r="B16" i="2"/>
  <c r="K16" i="2" s="1"/>
  <c r="B17" i="2"/>
  <c r="B9" i="2"/>
  <c r="K9" i="2" s="1"/>
  <c r="B13" i="2"/>
  <c r="K13" i="2" s="1"/>
  <c r="B2" i="2"/>
  <c r="K3" i="2" l="1"/>
  <c r="K18" i="2"/>
  <c r="K19" i="2"/>
  <c r="K17" i="2"/>
  <c r="K20" i="2"/>
  <c r="K8" i="2"/>
  <c r="K4" i="2"/>
  <c r="K2" i="2"/>
  <c r="K5" i="2"/>
</calcChain>
</file>

<file path=xl/sharedStrings.xml><?xml version="1.0" encoding="utf-8"?>
<sst xmlns="http://schemas.openxmlformats.org/spreadsheetml/2006/main" count="65" uniqueCount="40">
  <si>
    <t xml:space="preserve">State </t>
  </si>
  <si>
    <t xml:space="preserve"> GSDP_Current (₹ Cr) </t>
  </si>
  <si>
    <t xml:space="preserve"> GSDP_Growth_% </t>
  </si>
  <si>
    <t xml:space="preserve"> PerCapita_NSdp (₹) </t>
  </si>
  <si>
    <t xml:space="preserve"> Population </t>
  </si>
  <si>
    <t xml:space="preserve"> Urban_% </t>
  </si>
  <si>
    <t xml:space="preserve"> Internet_subs_per100 </t>
  </si>
  <si>
    <t xml:space="preserve"> LEADS_Score </t>
  </si>
  <si>
    <t xml:space="preserve"> EoDB_Score </t>
  </si>
  <si>
    <t xml:space="preserve"> Literacy_% </t>
  </si>
  <si>
    <t>Uttar Pradesh</t>
  </si>
  <si>
    <t>Maharashtra</t>
  </si>
  <si>
    <t>Bihar</t>
  </si>
  <si>
    <t>West Bengal</t>
  </si>
  <si>
    <t>Madhya Pradesh</t>
  </si>
  <si>
    <t>Tamil Nadu</t>
  </si>
  <si>
    <t>Rajasthan</t>
  </si>
  <si>
    <t>Karnataka</t>
  </si>
  <si>
    <t>Gujarat</t>
  </si>
  <si>
    <t>Andhra Pradesh</t>
  </si>
  <si>
    <t>Telangana</t>
  </si>
  <si>
    <t>Kerala</t>
  </si>
  <si>
    <t>Odisha</t>
  </si>
  <si>
    <t>Haryana</t>
  </si>
  <si>
    <t>Punjab</t>
  </si>
  <si>
    <t>Jharkhand</t>
  </si>
  <si>
    <t>Assam</t>
  </si>
  <si>
    <t>Chhattisgarh</t>
  </si>
  <si>
    <t>Delhi</t>
  </si>
  <si>
    <t>NA</t>
  </si>
  <si>
    <t>MPI_SCORE</t>
  </si>
  <si>
    <t>GSDP_n</t>
  </si>
  <si>
    <t>Growth_n</t>
  </si>
  <si>
    <t>PerCapita_n</t>
  </si>
  <si>
    <t>Population_n</t>
  </si>
  <si>
    <t xml:space="preserve"> Urban_n </t>
  </si>
  <si>
    <t>Internet_n</t>
  </si>
  <si>
    <t>LEADS_n</t>
  </si>
  <si>
    <t>EoDB_n</t>
  </si>
  <si>
    <t>Literacy_n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</si>
</sst>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W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DATA "/>
      <sheetName val="NORMALIZATION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RAW_DATA"/>
    </sheetNames>
    <sheetDataSet>
      <sheetData sheetId="0">
        <row r="1">
          <cell r="B1" t="str">
            <v xml:space="preserve"> GSDP_Current (₹ Cr) </v>
          </cell>
          <cell r="C1" t="str">
            <v xml:space="preserve"> GSDP_Growth_% </v>
          </cell>
          <cell r="D1" t="str">
            <v xml:space="preserve"> PerCapita_NSdp (₹) </v>
          </cell>
          <cell r="E1" t="str">
            <v xml:space="preserve"> Population </v>
          </cell>
          <cell r="F1" t="str">
            <v xml:space="preserve"> Urban_% </v>
          </cell>
          <cell r="G1" t="str">
            <v xml:space="preserve"> Internet_subs_per100 </v>
          </cell>
          <cell r="H1" t="str">
            <v xml:space="preserve"> LEADS_Score </v>
          </cell>
          <cell r="I1" t="str">
            <v xml:space="preserve"> EoDB_Score </v>
          </cell>
          <cell r="J1" t="str">
            <v xml:space="preserve"> Literacy_% </v>
          </cell>
        </row>
        <row r="2">
          <cell r="B2">
            <v>2258040</v>
          </cell>
          <cell r="C2">
            <v>15.12</v>
          </cell>
          <cell r="D2" t="str">
            <v>NA</v>
          </cell>
          <cell r="E2">
            <v>241</v>
          </cell>
          <cell r="F2">
            <v>22</v>
          </cell>
          <cell r="G2">
            <v>80</v>
          </cell>
          <cell r="H2">
            <v>3.4</v>
          </cell>
          <cell r="I2">
            <v>97</v>
          </cell>
          <cell r="J2">
            <v>70</v>
          </cell>
        </row>
        <row r="3">
          <cell r="B3" t="str">
            <v>NA</v>
          </cell>
          <cell r="C3">
            <v>11.38</v>
          </cell>
          <cell r="D3">
            <v>242247</v>
          </cell>
          <cell r="E3">
            <v>126</v>
          </cell>
          <cell r="F3">
            <v>45</v>
          </cell>
          <cell r="G3">
            <v>140</v>
          </cell>
          <cell r="H3">
            <v>4</v>
          </cell>
          <cell r="I3">
            <v>89</v>
          </cell>
          <cell r="J3">
            <v>83</v>
          </cell>
        </row>
        <row r="4">
          <cell r="B4">
            <v>751396</v>
          </cell>
          <cell r="C4">
            <v>14.94</v>
          </cell>
          <cell r="D4" t="str">
            <v>NA</v>
          </cell>
          <cell r="E4">
            <v>129</v>
          </cell>
          <cell r="F4">
            <v>12</v>
          </cell>
          <cell r="G4">
            <v>70</v>
          </cell>
          <cell r="H4">
            <v>2.9</v>
          </cell>
          <cell r="I4">
            <v>77</v>
          </cell>
          <cell r="J4">
            <v>63</v>
          </cell>
        </row>
        <row r="5">
          <cell r="B5">
            <v>1531578</v>
          </cell>
          <cell r="C5">
            <v>8.9600000000000009</v>
          </cell>
          <cell r="D5">
            <v>141373</v>
          </cell>
          <cell r="E5">
            <v>102</v>
          </cell>
          <cell r="F5">
            <v>31</v>
          </cell>
          <cell r="G5">
            <v>90</v>
          </cell>
          <cell r="H5">
            <v>0</v>
          </cell>
        </row>
        <row r="6">
          <cell r="B6">
            <v>1246471</v>
          </cell>
          <cell r="C6">
            <v>10.8</v>
          </cell>
          <cell r="D6">
            <v>140583</v>
          </cell>
          <cell r="E6">
            <v>90</v>
          </cell>
          <cell r="F6">
            <v>28</v>
          </cell>
          <cell r="G6">
            <v>82</v>
          </cell>
          <cell r="H6">
            <v>3.3</v>
          </cell>
          <cell r="I6">
            <v>94</v>
          </cell>
        </row>
        <row r="7">
          <cell r="B7">
            <v>2364514</v>
          </cell>
          <cell r="C7">
            <v>13.34</v>
          </cell>
          <cell r="D7">
            <v>273288</v>
          </cell>
          <cell r="E7">
            <v>78</v>
          </cell>
          <cell r="F7">
            <v>48</v>
          </cell>
          <cell r="G7">
            <v>130</v>
          </cell>
          <cell r="H7">
            <v>4.2</v>
          </cell>
          <cell r="I7">
            <v>88</v>
          </cell>
          <cell r="J7">
            <v>80</v>
          </cell>
        </row>
        <row r="8">
          <cell r="B8">
            <v>1365849</v>
          </cell>
          <cell r="C8">
            <v>12.17</v>
          </cell>
          <cell r="D8">
            <v>156149</v>
          </cell>
          <cell r="E8">
            <v>85</v>
          </cell>
          <cell r="F8">
            <v>25</v>
          </cell>
          <cell r="G8">
            <v>85</v>
          </cell>
          <cell r="H8">
            <v>3.2</v>
          </cell>
        </row>
        <row r="9">
          <cell r="B9">
            <v>2269995</v>
          </cell>
          <cell r="C9">
            <v>10.24</v>
          </cell>
          <cell r="D9">
            <v>301673</v>
          </cell>
          <cell r="E9">
            <v>72</v>
          </cell>
          <cell r="F9">
            <v>39</v>
          </cell>
          <cell r="G9">
            <v>125</v>
          </cell>
          <cell r="H9">
            <v>4.0999999999999996</v>
          </cell>
          <cell r="I9">
            <v>85</v>
          </cell>
          <cell r="J9">
            <v>75</v>
          </cell>
        </row>
        <row r="10">
          <cell r="B10">
            <v>223609</v>
          </cell>
          <cell r="C10" t="str">
            <v>NA</v>
          </cell>
          <cell r="D10" t="str">
            <v>NA</v>
          </cell>
          <cell r="E10">
            <v>70</v>
          </cell>
          <cell r="F10">
            <v>43</v>
          </cell>
          <cell r="G10">
            <v>120</v>
          </cell>
          <cell r="H10">
            <v>4.5</v>
          </cell>
          <cell r="I10">
            <v>92</v>
          </cell>
          <cell r="J10">
            <v>79</v>
          </cell>
        </row>
        <row r="11">
          <cell r="B11">
            <v>1303524</v>
          </cell>
          <cell r="C11">
            <v>8.6</v>
          </cell>
          <cell r="D11">
            <v>219518</v>
          </cell>
          <cell r="E11">
            <v>54</v>
          </cell>
          <cell r="G11">
            <v>0</v>
          </cell>
          <cell r="H11">
            <v>0</v>
          </cell>
          <cell r="I11">
            <v>98</v>
          </cell>
        </row>
        <row r="12">
          <cell r="B12">
            <v>1308304</v>
          </cell>
          <cell r="C12">
            <v>11.53</v>
          </cell>
          <cell r="D12">
            <v>308732</v>
          </cell>
          <cell r="E12">
            <v>38</v>
          </cell>
          <cell r="F12">
            <v>39</v>
          </cell>
          <cell r="G12">
            <v>115</v>
          </cell>
          <cell r="H12">
            <v>3.8</v>
          </cell>
          <cell r="I12">
            <v>96</v>
          </cell>
          <cell r="J12">
            <v>72</v>
          </cell>
        </row>
        <row r="13">
          <cell r="B13">
            <v>1046188</v>
          </cell>
          <cell r="C13">
            <v>9.3000000000000007</v>
          </cell>
          <cell r="D13" t="str">
            <v>NA</v>
          </cell>
          <cell r="E13">
            <v>36</v>
          </cell>
          <cell r="F13">
            <v>47</v>
          </cell>
          <cell r="G13">
            <v>180</v>
          </cell>
          <cell r="H13">
            <v>0</v>
          </cell>
          <cell r="J13">
            <v>94</v>
          </cell>
        </row>
        <row r="14">
          <cell r="B14">
            <v>753177</v>
          </cell>
          <cell r="C14">
            <v>11.7</v>
          </cell>
          <cell r="D14">
            <v>150676</v>
          </cell>
          <cell r="E14">
            <v>47</v>
          </cell>
          <cell r="F14">
            <v>17</v>
          </cell>
          <cell r="G14">
            <v>75</v>
          </cell>
          <cell r="H14">
            <v>0</v>
          </cell>
        </row>
        <row r="15">
          <cell r="B15">
            <v>984055</v>
          </cell>
          <cell r="C15">
            <v>11.36</v>
          </cell>
          <cell r="D15">
            <v>296685</v>
          </cell>
          <cell r="E15">
            <v>32</v>
          </cell>
          <cell r="F15">
            <v>35</v>
          </cell>
          <cell r="G15">
            <v>110</v>
          </cell>
          <cell r="H15">
            <v>3.9</v>
          </cell>
          <cell r="I15">
            <v>91</v>
          </cell>
          <cell r="J15">
            <v>76</v>
          </cell>
        </row>
        <row r="16">
          <cell r="B16">
            <v>676174</v>
          </cell>
          <cell r="C16">
            <v>11.44</v>
          </cell>
          <cell r="D16">
            <v>173873</v>
          </cell>
          <cell r="E16">
            <v>30</v>
          </cell>
          <cell r="F16">
            <v>37</v>
          </cell>
          <cell r="G16">
            <v>108</v>
          </cell>
          <cell r="H16">
            <v>3.7</v>
          </cell>
          <cell r="I16">
            <v>80</v>
          </cell>
        </row>
        <row r="17">
          <cell r="B17">
            <v>393722</v>
          </cell>
          <cell r="C17">
            <v>12.39</v>
          </cell>
          <cell r="D17" t="str">
            <v>NA</v>
          </cell>
          <cell r="E17">
            <v>39</v>
          </cell>
          <cell r="G17">
            <v>0</v>
          </cell>
          <cell r="H17">
            <v>0</v>
          </cell>
        </row>
        <row r="18">
          <cell r="B18">
            <v>493167</v>
          </cell>
          <cell r="C18">
            <v>17.38</v>
          </cell>
          <cell r="D18">
            <v>118504</v>
          </cell>
          <cell r="E18">
            <v>36</v>
          </cell>
          <cell r="F18">
            <v>15</v>
          </cell>
          <cell r="G18">
            <v>65</v>
          </cell>
          <cell r="H18">
            <v>0</v>
          </cell>
        </row>
        <row r="19">
          <cell r="B19">
            <v>464399</v>
          </cell>
          <cell r="C19">
            <v>11.6</v>
          </cell>
          <cell r="D19">
            <v>133898</v>
          </cell>
          <cell r="E19">
            <v>32</v>
          </cell>
          <cell r="F19">
            <v>23</v>
          </cell>
          <cell r="G19">
            <v>70</v>
          </cell>
          <cell r="H19">
            <v>0</v>
          </cell>
        </row>
        <row r="20">
          <cell r="B20">
            <v>1014688</v>
          </cell>
          <cell r="C20">
            <v>11.32</v>
          </cell>
          <cell r="D20" t="str">
            <v>NA</v>
          </cell>
          <cell r="E20">
            <v>20</v>
          </cell>
          <cell r="F20">
            <v>97</v>
          </cell>
          <cell r="G20">
            <v>220</v>
          </cell>
          <cell r="J20">
            <v>86</v>
          </cell>
        </row>
        <row r="21">
          <cell r="B21">
            <v>0</v>
          </cell>
          <cell r="C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zoomScale="80" zoomScaleNormal="80" workbookViewId="0">
      <selection activeCell="D2" sqref="D2"/>
    </sheetView>
  </sheetViews>
  <sheetFormatPr defaultRowHeight="14.5" x14ac:dyDescent="0.35"/>
  <cols>
    <col min="1" max="1" width="20.453125" style="1" customWidth="1"/>
    <col min="2" max="10" width="20.453125" customWidth="1"/>
    <col min="11" max="16" width="16.7265625" customWidth="1"/>
  </cols>
  <sheetData>
    <row r="1" spans="1:10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2" t="s">
        <v>10</v>
      </c>
      <c r="B2" s="6">
        <v>2258040</v>
      </c>
      <c r="C2">
        <v>15.12</v>
      </c>
      <c r="D2">
        <v>108572</v>
      </c>
      <c r="E2" s="2">
        <v>241</v>
      </c>
      <c r="F2">
        <v>22</v>
      </c>
      <c r="G2" s="3">
        <v>80</v>
      </c>
      <c r="H2" s="4">
        <v>3.4</v>
      </c>
      <c r="I2" s="3">
        <v>97</v>
      </c>
      <c r="J2" s="4">
        <v>70</v>
      </c>
    </row>
    <row r="3" spans="1:10" x14ac:dyDescent="0.35">
      <c r="A3" s="2" t="s">
        <v>11</v>
      </c>
      <c r="B3" s="7" t="s">
        <v>29</v>
      </c>
      <c r="C3" s="5">
        <v>11.38</v>
      </c>
      <c r="D3">
        <v>242247</v>
      </c>
      <c r="E3" s="2">
        <v>126</v>
      </c>
      <c r="F3">
        <v>45</v>
      </c>
      <c r="G3" s="2">
        <v>140</v>
      </c>
      <c r="H3" s="2">
        <v>4</v>
      </c>
      <c r="I3" s="2">
        <v>89</v>
      </c>
      <c r="J3" s="2">
        <v>83</v>
      </c>
    </row>
    <row r="4" spans="1:10" x14ac:dyDescent="0.35">
      <c r="A4" s="2" t="s">
        <v>12</v>
      </c>
      <c r="B4" s="2">
        <v>751396</v>
      </c>
      <c r="C4" s="2">
        <v>14.94</v>
      </c>
      <c r="D4">
        <v>66828</v>
      </c>
      <c r="E4" s="2">
        <v>129</v>
      </c>
      <c r="F4">
        <v>12</v>
      </c>
      <c r="G4" s="2">
        <v>70</v>
      </c>
      <c r="H4" s="2">
        <v>2.9</v>
      </c>
      <c r="I4" s="2">
        <v>77</v>
      </c>
      <c r="J4" s="2">
        <v>63</v>
      </c>
    </row>
    <row r="5" spans="1:10" x14ac:dyDescent="0.35">
      <c r="A5" s="2" t="s">
        <v>13</v>
      </c>
      <c r="B5" s="2">
        <v>1531578</v>
      </c>
      <c r="C5" s="2">
        <v>8.9600000000000009</v>
      </c>
      <c r="D5">
        <v>141373</v>
      </c>
      <c r="E5" s="2">
        <v>102</v>
      </c>
      <c r="F5">
        <v>31</v>
      </c>
      <c r="G5" s="2">
        <v>90</v>
      </c>
      <c r="H5" s="2"/>
    </row>
    <row r="6" spans="1:10" x14ac:dyDescent="0.35">
      <c r="A6" s="2" t="s">
        <v>14</v>
      </c>
      <c r="B6" s="2">
        <v>1246471</v>
      </c>
      <c r="C6" s="2">
        <v>10.8</v>
      </c>
      <c r="D6">
        <v>140583</v>
      </c>
      <c r="E6" s="2">
        <v>90</v>
      </c>
      <c r="F6">
        <v>28</v>
      </c>
      <c r="G6" s="2">
        <v>82</v>
      </c>
      <c r="H6" s="2">
        <v>3.3</v>
      </c>
      <c r="I6" s="2">
        <v>94</v>
      </c>
    </row>
    <row r="7" spans="1:10" x14ac:dyDescent="0.35">
      <c r="A7" s="2" t="s">
        <v>15</v>
      </c>
      <c r="B7" s="2">
        <v>2364514</v>
      </c>
      <c r="C7" s="2">
        <v>13.34</v>
      </c>
      <c r="D7">
        <v>273288</v>
      </c>
      <c r="E7" s="2">
        <v>78</v>
      </c>
      <c r="F7">
        <v>48</v>
      </c>
      <c r="G7" s="2">
        <v>130</v>
      </c>
      <c r="H7" s="2">
        <v>4.2</v>
      </c>
      <c r="I7" s="2">
        <v>88</v>
      </c>
      <c r="J7" s="2">
        <v>80</v>
      </c>
    </row>
    <row r="8" spans="1:10" x14ac:dyDescent="0.35">
      <c r="A8" s="2" t="s">
        <v>16</v>
      </c>
      <c r="B8" s="2">
        <v>1365849</v>
      </c>
      <c r="C8" s="2">
        <v>12.17</v>
      </c>
      <c r="D8">
        <v>156149</v>
      </c>
      <c r="E8" s="2">
        <v>85</v>
      </c>
      <c r="F8">
        <v>25</v>
      </c>
      <c r="G8" s="2">
        <v>85</v>
      </c>
      <c r="H8" s="2">
        <v>3.2</v>
      </c>
    </row>
    <row r="9" spans="1:10" x14ac:dyDescent="0.35">
      <c r="A9" s="2" t="s">
        <v>17</v>
      </c>
      <c r="B9" s="2">
        <v>2269995</v>
      </c>
      <c r="C9" s="2">
        <v>10.24</v>
      </c>
      <c r="D9">
        <v>301673</v>
      </c>
      <c r="E9" s="2">
        <v>72</v>
      </c>
      <c r="F9">
        <v>39</v>
      </c>
      <c r="G9" s="2">
        <v>125</v>
      </c>
      <c r="H9" s="2">
        <v>4.0999999999999996</v>
      </c>
      <c r="I9" s="2">
        <v>85</v>
      </c>
      <c r="J9" s="2">
        <v>75</v>
      </c>
    </row>
    <row r="10" spans="1:10" x14ac:dyDescent="0.35">
      <c r="A10" s="2" t="s">
        <v>18</v>
      </c>
      <c r="B10" s="2">
        <v>223609</v>
      </c>
      <c r="C10" s="2" t="s">
        <v>29</v>
      </c>
      <c r="D10" t="s">
        <v>29</v>
      </c>
      <c r="E10" s="2">
        <v>70</v>
      </c>
      <c r="F10">
        <v>43</v>
      </c>
      <c r="G10" s="2">
        <v>120</v>
      </c>
      <c r="H10" s="2">
        <v>4.5</v>
      </c>
      <c r="I10" s="2">
        <v>92</v>
      </c>
      <c r="J10" s="2">
        <v>79</v>
      </c>
    </row>
    <row r="11" spans="1:10" x14ac:dyDescent="0.35">
      <c r="A11" s="2" t="s">
        <v>19</v>
      </c>
      <c r="B11" s="2">
        <v>1303524</v>
      </c>
      <c r="C11" s="2">
        <v>8.6</v>
      </c>
      <c r="D11">
        <v>219518</v>
      </c>
      <c r="E11" s="2">
        <v>54</v>
      </c>
      <c r="G11" s="2"/>
      <c r="H11" s="2"/>
      <c r="I11">
        <v>98</v>
      </c>
    </row>
    <row r="12" spans="1:10" x14ac:dyDescent="0.35">
      <c r="A12" s="2" t="s">
        <v>20</v>
      </c>
      <c r="B12" s="2">
        <v>1308304</v>
      </c>
      <c r="C12" s="2">
        <v>11.53</v>
      </c>
      <c r="D12">
        <v>308732</v>
      </c>
      <c r="E12" s="2">
        <v>38</v>
      </c>
      <c r="F12">
        <v>39</v>
      </c>
      <c r="G12" s="2">
        <v>115</v>
      </c>
      <c r="H12" s="2">
        <v>3.8</v>
      </c>
      <c r="I12" s="2">
        <v>96</v>
      </c>
      <c r="J12" s="2">
        <v>72</v>
      </c>
    </row>
    <row r="13" spans="1:10" x14ac:dyDescent="0.35">
      <c r="A13" s="2" t="s">
        <v>21</v>
      </c>
      <c r="B13" s="2">
        <v>1046188</v>
      </c>
      <c r="C13" s="2">
        <v>9.3000000000000007</v>
      </c>
      <c r="D13" t="s">
        <v>29</v>
      </c>
      <c r="E13" s="2">
        <v>36</v>
      </c>
      <c r="F13">
        <v>47</v>
      </c>
      <c r="G13" s="2">
        <v>180</v>
      </c>
      <c r="H13" s="2"/>
      <c r="J13" s="2">
        <v>94</v>
      </c>
    </row>
    <row r="14" spans="1:10" x14ac:dyDescent="0.35">
      <c r="A14" s="2" t="s">
        <v>22</v>
      </c>
      <c r="B14" s="2">
        <v>753177</v>
      </c>
      <c r="C14" s="2">
        <v>11.7</v>
      </c>
      <c r="D14">
        <v>150676</v>
      </c>
      <c r="E14" s="2">
        <v>47</v>
      </c>
      <c r="F14">
        <v>17</v>
      </c>
      <c r="G14" s="2">
        <v>75</v>
      </c>
      <c r="H14" s="2"/>
    </row>
    <row r="15" spans="1:10" x14ac:dyDescent="0.35">
      <c r="A15" s="2" t="s">
        <v>23</v>
      </c>
      <c r="B15" s="2">
        <v>984055</v>
      </c>
      <c r="C15" s="2">
        <v>11.36</v>
      </c>
      <c r="D15">
        <v>296685</v>
      </c>
      <c r="E15" s="2">
        <v>32</v>
      </c>
      <c r="F15">
        <v>35</v>
      </c>
      <c r="G15" s="2">
        <v>110</v>
      </c>
      <c r="H15" s="2">
        <v>3.9</v>
      </c>
      <c r="I15" s="2">
        <v>91</v>
      </c>
      <c r="J15" s="2">
        <v>76</v>
      </c>
    </row>
    <row r="16" spans="1:10" x14ac:dyDescent="0.35">
      <c r="A16" s="2" t="s">
        <v>24</v>
      </c>
      <c r="B16" s="2">
        <v>676174</v>
      </c>
      <c r="C16" s="2">
        <v>11.44</v>
      </c>
      <c r="D16">
        <v>173873</v>
      </c>
      <c r="E16" s="2">
        <v>30</v>
      </c>
      <c r="F16">
        <v>37</v>
      </c>
      <c r="G16" s="2">
        <v>108</v>
      </c>
      <c r="H16" s="2">
        <v>3.7</v>
      </c>
      <c r="I16" s="2">
        <v>80</v>
      </c>
    </row>
    <row r="17" spans="1:10" x14ac:dyDescent="0.35">
      <c r="A17" s="2" t="s">
        <v>25</v>
      </c>
      <c r="B17" s="2">
        <v>393722</v>
      </c>
      <c r="C17" s="2">
        <v>12.39</v>
      </c>
      <c r="D17" t="s">
        <v>29</v>
      </c>
      <c r="E17" s="2">
        <v>39</v>
      </c>
      <c r="G17" s="2"/>
      <c r="H17" s="2"/>
    </row>
    <row r="18" spans="1:10" x14ac:dyDescent="0.35">
      <c r="A18" s="2" t="s">
        <v>26</v>
      </c>
      <c r="B18" s="2">
        <v>493167</v>
      </c>
      <c r="C18" s="2">
        <v>17.38</v>
      </c>
      <c r="D18">
        <v>118504</v>
      </c>
      <c r="E18" s="2">
        <v>36</v>
      </c>
      <c r="F18">
        <v>15</v>
      </c>
      <c r="G18" s="2">
        <v>65</v>
      </c>
      <c r="H18" s="2"/>
    </row>
    <row r="19" spans="1:10" x14ac:dyDescent="0.35">
      <c r="A19" s="2" t="s">
        <v>27</v>
      </c>
      <c r="B19" s="2">
        <v>464399</v>
      </c>
      <c r="C19" s="2">
        <v>11.6</v>
      </c>
      <c r="D19">
        <v>133898</v>
      </c>
      <c r="E19" s="2">
        <v>32</v>
      </c>
      <c r="F19">
        <v>23</v>
      </c>
      <c r="G19" s="2">
        <v>70</v>
      </c>
      <c r="H19" s="2"/>
    </row>
    <row r="20" spans="1:10" x14ac:dyDescent="0.35">
      <c r="A20" s="2" t="s">
        <v>28</v>
      </c>
      <c r="B20" s="2">
        <v>1014688</v>
      </c>
      <c r="C20" s="2">
        <v>11.32</v>
      </c>
      <c r="D20" t="s">
        <v>29</v>
      </c>
      <c r="E20" s="2">
        <v>20</v>
      </c>
      <c r="F20">
        <v>97</v>
      </c>
      <c r="G20" s="2">
        <v>220</v>
      </c>
      <c r="J20">
        <v>86</v>
      </c>
    </row>
    <row r="21" spans="1:10" x14ac:dyDescent="0.35">
      <c r="A21" s="2"/>
      <c r="B21" s="2"/>
      <c r="C21" s="2"/>
      <c r="E21" s="2"/>
    </row>
    <row r="22" spans="1:10" x14ac:dyDescent="0.35">
      <c r="A22" s="2"/>
      <c r="B22" s="2"/>
      <c r="C2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F21" sqref="F21"/>
    </sheetView>
  </sheetViews>
  <sheetFormatPr defaultRowHeight="14.5" x14ac:dyDescent="0.35"/>
  <cols>
    <col min="1" max="1" width="19.81640625" style="1" customWidth="1"/>
    <col min="2" max="10" width="19.81640625" customWidth="1"/>
    <col min="11" max="16" width="13.81640625" customWidth="1"/>
  </cols>
  <sheetData>
    <row r="1" spans="1:11" x14ac:dyDescent="0.35">
      <c r="A1" s="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30</v>
      </c>
    </row>
    <row r="2" spans="1:11" x14ac:dyDescent="0.35">
      <c r="A2" s="2" t="s">
        <v>10</v>
      </c>
      <c r="B2">
        <f>('[1]RAW DATA '!B2 - MIN('[1]RAW DATA '!B:B)) / (MAX('[1]RAW DATA '!B:B) - MIN('[1]RAW DATA '!B:B))</f>
        <v>0.95026682641219484</v>
      </c>
      <c r="C2">
        <f>('[1]RAW DATA '!C2-MIN('[1]RAW DATA '!C:C))/(MAX('[1]RAW DATA '!C:C)-MIN('[1]RAW DATA '!C:C))</f>
        <v>0.74259681093394081</v>
      </c>
      <c r="D2">
        <f>IFERROR(('[1]RAW DATA '!B2-MIN('[1]RAW DATA '!B2:B37))/(MAX('[1]RAW DATA '!B2:B37)-MIN('[1]RAW DATA '!B2:B37)), "")</f>
        <v>0.95026682641219484</v>
      </c>
      <c r="E2">
        <f>(MAX('[1]RAW DATA '!E:E)-'[1]RAW DATA '!E2)/(MAX('[1]RAW DATA '!E:E)-MIN('[1]RAW DATA '!E:E))</f>
        <v>0</v>
      </c>
      <c r="F2">
        <f>('[1]RAW DATA '!F2-MIN('[1]RAW DATA '!F:F))/(MAX('[1]RAW DATA '!F:F)-MIN('[1]RAW DATA '!F:F))</f>
        <v>0.11764705882352941</v>
      </c>
      <c r="G2">
        <f>('[1]RAW DATA '!G2-MIN('[1]RAW DATA '!G:G))/(MAX('[1]RAW DATA '!G:G)-MIN('[1]RAW DATA '!G:G))</f>
        <v>9.6774193548387094E-2</v>
      </c>
      <c r="H2">
        <f>('[1]RAW DATA '!H2-MIN('[1]RAW DATA '!H:H))/(MAX('[1]RAW DATA '!H:H)-MIN('[1]RAW DATA '!H:H))</f>
        <v>0.3125</v>
      </c>
      <c r="I2" s="8">
        <f xml:space="preserve"> (E2 - MIN($E$2:$E$30)) / (MAX($E$2:$E$30) - MIN($E$2:$E$30))</f>
        <v>0</v>
      </c>
      <c r="J2">
        <f>('[1]RAW DATA '!J2-MIN('[1]RAW DATA '!J:J))/(MAX('[1]RAW DATA '!J:J)-MIN('[1]RAW DATA '!J:J))</f>
        <v>0.22580645161290322</v>
      </c>
      <c r="K2">
        <f t="shared" ref="K2:K20" si="0" xml:space="preserve"> B2*0.2 + C2*0.1 + D2*0.1 + E2*0.1 + F2*0.1 + G2*0.1 + H2*0.1 + I2*0.1 + J2*0.1</f>
        <v>0.43461249941553459</v>
      </c>
    </row>
    <row r="3" spans="1:11" x14ac:dyDescent="0.35">
      <c r="A3" s="2" t="s">
        <v>11</v>
      </c>
      <c r="B3">
        <f>IFERROR(('[1]RAW DATA '!B2-MIN('[1]RAW DATA '!B2:B37))/(MAX('[1]RAW DATA '!B2:B37)-MIN('[1]RAW DATA '!B2:B37)), "")</f>
        <v>0.95026682641219484</v>
      </c>
      <c r="C3">
        <f>('[1]RAW DATA '!C3-MIN('[1]RAW DATA '!C:C))/(MAX('[1]RAW DATA '!C:C)-MIN('[1]RAW DATA '!C:C))</f>
        <v>0.31662870159453316</v>
      </c>
      <c r="D3">
        <f>('[1]RAW DATA '!D3-MIN('[1]RAW DATA '!D3:D38))/(MAX('[1]RAW DATA '!D3:D38)-MIN('[1]RAW DATA '!D3:D38))</f>
        <v>0.65049834934920203</v>
      </c>
      <c r="E3">
        <f>(MAX('[1]RAW DATA '!E:E)-'[1]RAW DATA '!E3)/(MAX('[1]RAW DATA '!E:E)-MIN('[1]RAW DATA '!E:E))</f>
        <v>0.52036199095022628</v>
      </c>
      <c r="F3">
        <f>('[1]RAW DATA '!F3-MIN('[1]RAW DATA '!F:F))/(MAX('[1]RAW DATA '!F:F)-MIN('[1]RAW DATA '!F:F))</f>
        <v>0.38823529411764707</v>
      </c>
      <c r="G3">
        <f>('[1]RAW DATA '!G3-MIN('[1]RAW DATA '!G:G))/(MAX('[1]RAW DATA '!G:G)-MIN('[1]RAW DATA '!G:G))</f>
        <v>0.4838709677419355</v>
      </c>
      <c r="H3">
        <f>('[1]RAW DATA '!H3-MIN('[1]RAW DATA '!H:H))/(MAX('[1]RAW DATA '!H:H)-MIN('[1]RAW DATA '!H:H))</f>
        <v>0.6875</v>
      </c>
      <c r="I3" s="8">
        <f>('[1]RAW DATA '!I2-MIN('[1]RAW DATA '!I:I))/(MAX('[1]RAW DATA '!I:I)-MIN('[1]RAW DATA '!I:I))</f>
        <v>0.95238095238095233</v>
      </c>
      <c r="J3">
        <f>('[1]RAW DATA '!J3-MIN('[1]RAW DATA '!J:J))/(MAX('[1]RAW DATA '!J:J)-MIN('[1]RAW DATA '!J:J))</f>
        <v>0.64516129032258063</v>
      </c>
      <c r="K3">
        <f t="shared" si="0"/>
        <v>0.65451711992814676</v>
      </c>
    </row>
    <row r="4" spans="1:11" x14ac:dyDescent="0.35">
      <c r="A4" s="2" t="s">
        <v>12</v>
      </c>
      <c r="B4">
        <f>('[1]RAW DATA '!B4 - MIN('[1]RAW DATA '!B:B)) / (MAX('[1]RAW DATA '!B:B) - MIN('[1]RAW DATA '!B:B))</f>
        <v>0.2465251844430276</v>
      </c>
      <c r="C4">
        <f>('[1]RAW DATA '!C4-MIN('[1]RAW DATA '!C:C))/(MAX('[1]RAW DATA '!C:C)-MIN('[1]RAW DATA '!C:C))</f>
        <v>0.72209567198177682</v>
      </c>
      <c r="D4">
        <f>IFERROR(('[1]RAW DATA '!B2-MIN('[1]RAW DATA '!B2:B37))/(MAX('[1]RAW DATA '!B2:B37)-MIN('[1]RAW DATA '!B2:B37)), "")</f>
        <v>0.95026682641219484</v>
      </c>
      <c r="E4">
        <f>(MAX('[1]RAW DATA '!E:E)-'[1]RAW DATA '!E4)/(MAX('[1]RAW DATA '!E:E)-MIN('[1]RAW DATA '!E:E))</f>
        <v>0.50678733031674206</v>
      </c>
      <c r="F4">
        <f>('[1]RAW DATA '!F4-MIN('[1]RAW DATA '!F:F))/(MAX('[1]RAW DATA '!F:F)-MIN('[1]RAW DATA '!F:F))</f>
        <v>0</v>
      </c>
      <c r="G4">
        <f>('[1]RAW DATA '!G4-MIN('[1]RAW DATA '!G:G))/(MAX('[1]RAW DATA '!G:G)-MIN('[1]RAW DATA '!G:G))</f>
        <v>3.2258064516129031E-2</v>
      </c>
      <c r="H4">
        <f>('[1]RAW DATA '!H4-MIN('[1]RAW DATA '!H:H))/(MAX('[1]RAW DATA '!H:H)-MIN('[1]RAW DATA '!H:H))</f>
        <v>0</v>
      </c>
      <c r="I4" s="8">
        <f>('[1]RAW DATA '!I3-MIN('[1]RAW DATA '!I:I))/(MAX('[1]RAW DATA '!I:I)-MIN('[1]RAW DATA '!I:I))</f>
        <v>0.5714285714285714</v>
      </c>
      <c r="J4">
        <f>('[1]RAW DATA '!J4-MIN('[1]RAW DATA '!J:J))/(MAX('[1]RAW DATA '!J:J)-MIN('[1]RAW DATA '!J:J))</f>
        <v>0</v>
      </c>
      <c r="K4">
        <f t="shared" si="0"/>
        <v>0.32758868335414698</v>
      </c>
    </row>
    <row r="5" spans="1:11" x14ac:dyDescent="0.35">
      <c r="A5" s="2" t="s">
        <v>18</v>
      </c>
      <c r="B5">
        <f>('[1]RAW DATA '!B10 - MIN('[1]RAW DATA '!B:B)) / (MAX('[1]RAW DATA '!B:B) - MIN('[1]RAW DATA '!B:B))</f>
        <v>0</v>
      </c>
      <c r="C5">
        <f>IFERROR(('[1]RAW DATA '!C5-MIN('[1]RAW DATA '!C2:C37))/(MAX('[1]RAW DATA '!C2:C37)-MIN('[1]RAW DATA '!C2:C37)), "")</f>
        <v>4.1002277904328158E-2</v>
      </c>
      <c r="D5">
        <f>IFERROR(('[1]RAW DATA '!D5-MIN('[1]RAW DATA '!D5:D40))/(MAX('[1]RAW DATA '!D5:D40)-MIN('[1]RAW DATA '!D5:D40)), "")</f>
        <v>0.12021889522047227</v>
      </c>
      <c r="E5">
        <f>(MAX('[1]RAW DATA '!E:E)-'[1]RAW DATA '!E10)/(MAX('[1]RAW DATA '!E:E)-MIN('[1]RAW DATA '!E:E))</f>
        <v>0.77375565610859731</v>
      </c>
      <c r="F5">
        <f>('[1]RAW DATA '!F10-MIN('[1]RAW DATA '!F:F))/(MAX('[1]RAW DATA '!F:F)-MIN('[1]RAW DATA '!F:F))</f>
        <v>0.36470588235294116</v>
      </c>
      <c r="G5">
        <f>('[1]RAW DATA '!G10-MIN('[1]RAW DATA '!G:G))/(MAX('[1]RAW DATA '!G:G)-MIN('[1]RAW DATA '!G:G))</f>
        <v>0.35483870967741937</v>
      </c>
      <c r="H5">
        <f>('[1]RAW DATA '!H10-MIN('[1]RAW DATA '!H:H))/(MAX('[1]RAW DATA '!H:H)-MIN('[1]RAW DATA '!H:H))</f>
        <v>1</v>
      </c>
      <c r="I5" s="8">
        <f>('[1]RAW DATA '!I9-MIN('[1]RAW DATA '!I:I))/(MAX('[1]RAW DATA '!I:I)-MIN('[1]RAW DATA '!I:I))</f>
        <v>0.38095238095238093</v>
      </c>
      <c r="J5">
        <f>('[1]RAW DATA '!J10-MIN('[1]RAW DATA '!J:J))/(MAX('[1]RAW DATA '!J:J)-MIN('[1]RAW DATA '!J:J))</f>
        <v>0.5161290322580645</v>
      </c>
      <c r="K5">
        <f t="shared" si="0"/>
        <v>0.35516028344742046</v>
      </c>
    </row>
    <row r="6" spans="1:11" x14ac:dyDescent="0.35">
      <c r="A6" s="2" t="s">
        <v>21</v>
      </c>
      <c r="B6">
        <f>('[1]RAW DATA '!B13 - MIN('[1]RAW DATA '!B:B)) / (MAX('[1]RAW DATA '!B:B) - MIN('[1]RAW DATA '!B:B))</f>
        <v>0.38422022462463307</v>
      </c>
      <c r="C6">
        <f>('[1]RAW DATA '!C13-MIN('[1]RAW DATA '!C:C))/(MAX('[1]RAW DATA '!C:C)-MIN('[1]RAW DATA '!C:C))</f>
        <v>7.9726651480637942E-2</v>
      </c>
      <c r="D6">
        <f>IFERROR(('[1]RAW DATA '!D6-MIN('[1]RAW DATA '!D6:D41))/(MAX('[1]RAW DATA '!D6:D41)-MIN('[1]RAW DATA '!D6:D41)), "")</f>
        <v>0.11606598397712219</v>
      </c>
      <c r="E6">
        <f>(MAX('[1]RAW DATA '!E:E)-'[1]RAW DATA '!E13)/(MAX('[1]RAW DATA '!E:E)-MIN('[1]RAW DATA '!E:E))</f>
        <v>0.92760180995475117</v>
      </c>
      <c r="F6">
        <f>('[1]RAW DATA '!F13-MIN('[1]RAW DATA '!F:F))/(MAX('[1]RAW DATA '!F:F)-MIN('[1]RAW DATA '!F:F))</f>
        <v>0.41176470588235292</v>
      </c>
      <c r="G6">
        <f>('[1]RAW DATA '!G13-MIN('[1]RAW DATA '!G:G))/(MAX('[1]RAW DATA '!G:G)-MIN('[1]RAW DATA '!G:G))</f>
        <v>0.74193548387096775</v>
      </c>
      <c r="H6">
        <f>('[1]RAW DATA '!H13-MIN('[1]RAW DATA '!H:H))/(MAX('[1]RAW DATA '!H:H)-MIN('[1]RAW DATA '!H:H))</f>
        <v>-1.8124999999999998</v>
      </c>
      <c r="I6" s="8">
        <f>('[1]RAW DATA '!I12-MIN('[1]RAW DATA '!I:I))/(MAX('[1]RAW DATA '!I:I)-MIN('[1]RAW DATA '!I:I))</f>
        <v>0.90476190476190477</v>
      </c>
      <c r="J6">
        <f>('[1]RAW DATA '!J13-MIN('[1]RAW DATA '!J:J))/(MAX('[1]RAW DATA '!J:J)-MIN('[1]RAW DATA '!J:J))</f>
        <v>1</v>
      </c>
      <c r="K6">
        <f t="shared" si="0"/>
        <v>0.3137796989177003</v>
      </c>
    </row>
    <row r="7" spans="1:11" x14ac:dyDescent="0.35">
      <c r="A7" s="2" t="s">
        <v>25</v>
      </c>
      <c r="B7">
        <f>('[1]RAW DATA '!B17 - MIN('[1]RAW DATA '!B:B)) / (MAX('[1]RAW DATA '!B:B) - MIN('[1]RAW DATA '!B:B))</f>
        <v>7.9458453317639038E-2</v>
      </c>
      <c r="C7">
        <f>('[1]RAW DATA '!C17-MIN('[1]RAW DATA '!C:C))/(MAX('[1]RAW DATA '!C:C)-MIN('[1]RAW DATA '!C:C))</f>
        <v>0.43166287015945343</v>
      </c>
      <c r="D7">
        <f>IFERROR(('[1]RAW DATA '!D7-MIN('[1]RAW DATA '!D7:D42))/(MAX('[1]RAW DATA '!D7:D42)-MIN('[1]RAW DATA '!D7:D42)), "")</f>
        <v>0.81367622011480956</v>
      </c>
      <c r="E7">
        <f>(MAX('[1]RAW DATA '!E:E)-'[1]RAW DATA '!E17)/(MAX('[1]RAW DATA '!E:E)-MIN('[1]RAW DATA '!E:E))</f>
        <v>0.91402714932126694</v>
      </c>
      <c r="F7">
        <f>('[1]RAW DATA '!F17-MIN('[1]RAW DATA '!F:F))/(MAX('[1]RAW DATA '!F:F)-MIN('[1]RAW DATA '!F:F))</f>
        <v>-0.14117647058823529</v>
      </c>
      <c r="G7">
        <f>('[1]RAW DATA '!G17-MIN('[1]RAW DATA '!G:G))/(MAX('[1]RAW DATA '!G:G)-MIN('[1]RAW DATA '!G:G))</f>
        <v>-0.41935483870967744</v>
      </c>
      <c r="H7">
        <f>('[1]RAW DATA '!H17-MIN('[1]RAW DATA '!H:H))/(MAX('[1]RAW DATA '!H:H)-MIN('[1]RAW DATA '!H:H))</f>
        <v>-1.8124999999999998</v>
      </c>
      <c r="I7" s="8">
        <f>('[1]RAW DATA '!I16-MIN('[1]RAW DATA '!I:I))/(MAX('[1]RAW DATA '!I:I)-MIN('[1]RAW DATA '!I:I))</f>
        <v>0.14285714285714285</v>
      </c>
      <c r="J7">
        <f>('[1]RAW DATA '!J17-MIN('[1]RAW DATA '!J:J))/(MAX('[1]RAW DATA '!J:J)-MIN('[1]RAW DATA '!J:J))</f>
        <v>-2.032258064516129</v>
      </c>
      <c r="K7">
        <f t="shared" si="0"/>
        <v>-0.19441490847260909</v>
      </c>
    </row>
    <row r="8" spans="1:11" x14ac:dyDescent="0.35">
      <c r="A8" s="2" t="s">
        <v>28</v>
      </c>
      <c r="B8">
        <f>('[1]RAW DATA '!B20 - MIN('[1]RAW DATA '!B:B)) / (MAX('[1]RAW DATA '!B:B) - MIN('[1]RAW DATA '!B:B))</f>
        <v>0.36950682071367014</v>
      </c>
      <c r="C8">
        <f>('[1]RAW DATA '!C20-MIN('[1]RAW DATA '!C:C))/(MAX('[1]RAW DATA '!C:C)-MIN('[1]RAW DATA '!C:C))</f>
        <v>0.30979498861047844</v>
      </c>
      <c r="D8">
        <f>IFERROR(('[1]RAW DATA '!D8-MIN('[1]RAW DATA '!D8:D43))/(MAX('[1]RAW DATA '!D8:D43)-MIN('[1]RAW DATA '!D8:D43)), "")</f>
        <v>0.19789410602014426</v>
      </c>
      <c r="E8">
        <f>(MAX('[1]RAW DATA '!E:E)-'[1]RAW DATA '!E20)/(MAX('[1]RAW DATA '!E:E)-MIN('[1]RAW DATA '!E:E))</f>
        <v>1</v>
      </c>
      <c r="F8">
        <f>('[1]RAW DATA '!F20-MIN('[1]RAW DATA '!F:F))/(MAX('[1]RAW DATA '!F:F)-MIN('[1]RAW DATA '!F:F))</f>
        <v>1</v>
      </c>
      <c r="G8">
        <f>('[1]RAW DATA '!G20-MIN('[1]RAW DATA '!G:G))/(MAX('[1]RAW DATA '!G:G)-MIN('[1]RAW DATA '!G:G))</f>
        <v>1</v>
      </c>
      <c r="H8">
        <f>('[1]RAW DATA '!H20-MIN('[1]RAW DATA '!H:H))/(MAX('[1]RAW DATA '!H:H)-MIN('[1]RAW DATA '!H:H))</f>
        <v>-1.8124999999999998</v>
      </c>
      <c r="I8" s="8">
        <f>('[1]RAW DATA '!I19-MIN('[1]RAW DATA '!I:I))/(MAX('[1]RAW DATA '!I:I)-MIN('[1]RAW DATA '!I:I))</f>
        <v>-3.6666666666666665</v>
      </c>
      <c r="J8">
        <f>('[1]RAW DATA '!J20-MIN('[1]RAW DATA '!J:J))/(MAX('[1]RAW DATA '!J:J)-MIN('[1]RAW DATA '!J:J))</f>
        <v>0.74193548387096775</v>
      </c>
      <c r="K8">
        <f t="shared" si="0"/>
        <v>-4.9052844673773563E-2</v>
      </c>
    </row>
    <row r="9" spans="1:11" x14ac:dyDescent="0.35">
      <c r="A9" s="2" t="s">
        <v>15</v>
      </c>
      <c r="B9">
        <f>('[1]RAW DATA '!B7 - MIN('[1]RAW DATA '!B:B)) / (MAX('[1]RAW DATA '!B:B) - MIN('[1]RAW DATA '!B:B))</f>
        <v>1</v>
      </c>
      <c r="C9">
        <f>('[1]RAW DATA '!C7-MIN('[1]RAW DATA '!C:C))/(MAX('[1]RAW DATA '!C:C)-MIN('[1]RAW DATA '!C:C))</f>
        <v>0.53986332574031892</v>
      </c>
      <c r="D9">
        <f>('[1]RAW DATA '!D7-MIN('[1]RAW DATA '!D:D))/(MAX('[1]RAW DATA '!D:D)-MIN('[1]RAW DATA '!D:D))</f>
        <v>0.81367622011480956</v>
      </c>
      <c r="E9">
        <f>(MAX('[1]RAW DATA '!E:E)-'[1]RAW DATA '!E7)/(MAX('[1]RAW DATA '!E:E)-MIN('[1]RAW DATA '!E:E))</f>
        <v>0.73755656108597289</v>
      </c>
      <c r="F9">
        <f>('[1]RAW DATA '!F7-MIN('[1]RAW DATA '!F:F))/(MAX('[1]RAW DATA '!F:F)-MIN('[1]RAW DATA '!F:F))</f>
        <v>0.42352941176470588</v>
      </c>
      <c r="G9">
        <f>('[1]RAW DATA '!G7-MIN('[1]RAW DATA '!G:G))/(MAX('[1]RAW DATA '!G:G)-MIN('[1]RAW DATA '!G:G))</f>
        <v>0.41935483870967744</v>
      </c>
      <c r="H9">
        <f>('[1]RAW DATA '!H7-MIN('[1]RAW DATA '!H:H))/(MAX('[1]RAW DATA '!H:H)-MIN('[1]RAW DATA '!H:H))</f>
        <v>0.81250000000000011</v>
      </c>
      <c r="I9" s="8">
        <f>('[1]RAW DATA '!I6-MIN('[1]RAW DATA '!I:I))/(MAX('[1]RAW DATA '!I:I)-MIN('[1]RAW DATA '!I:I))</f>
        <v>0.80952380952380953</v>
      </c>
      <c r="J9">
        <f>('[1]RAW DATA '!J7-MIN('[1]RAW DATA '!J:J))/(MAX('[1]RAW DATA '!J:J)-MIN('[1]RAW DATA '!J:J))</f>
        <v>0.54838709677419351</v>
      </c>
      <c r="K9">
        <f t="shared" si="0"/>
        <v>0.71043912637134887</v>
      </c>
    </row>
    <row r="10" spans="1:11" x14ac:dyDescent="0.35">
      <c r="A10" s="2" t="s">
        <v>20</v>
      </c>
      <c r="B10">
        <f>('[1]RAW DATA '!B12 - MIN('[1]RAW DATA '!B:B)) / (MAX('[1]RAW DATA '!B:B) - MIN('[1]RAW DATA '!B:B))</f>
        <v>0.50665256048259966</v>
      </c>
      <c r="C10">
        <f>('[1]RAW DATA '!C12-MIN('[1]RAW DATA '!C:C))/(MAX('[1]RAW DATA '!C:C)-MIN('[1]RAW DATA '!C:C))</f>
        <v>0.3337129840546697</v>
      </c>
      <c r="D10">
        <f>('[1]RAW DATA '!D12-MIN('[1]RAW DATA '!D:D))/(MAX('[1]RAW DATA '!D:D)-MIN('[1]RAW DATA '!D:D))</f>
        <v>1</v>
      </c>
      <c r="E10">
        <f>(MAX('[1]RAW DATA '!E:E)-'[1]RAW DATA '!E12)/(MAX('[1]RAW DATA '!E:E)-MIN('[1]RAW DATA '!E:E))</f>
        <v>0.91855203619909498</v>
      </c>
      <c r="F10">
        <f>('[1]RAW DATA '!F12-MIN('[1]RAW DATA '!F:F))/(MAX('[1]RAW DATA '!F:F)-MIN('[1]RAW DATA '!F:F))</f>
        <v>0.31764705882352939</v>
      </c>
      <c r="G10">
        <f>('[1]RAW DATA '!G12-MIN('[1]RAW DATA '!G:G))/(MAX('[1]RAW DATA '!G:G)-MIN('[1]RAW DATA '!G:G))</f>
        <v>0.32258064516129031</v>
      </c>
      <c r="H10">
        <f>('[1]RAW DATA '!H12-MIN('[1]RAW DATA '!H:H))/(MAX('[1]RAW DATA '!H:H)-MIN('[1]RAW DATA '!H:H))</f>
        <v>0.56249999999999989</v>
      </c>
      <c r="I10" s="8">
        <f>('[1]RAW DATA '!I11-MIN('[1]RAW DATA '!I:I))/(MAX('[1]RAW DATA '!I:I)-MIN('[1]RAW DATA '!I:I))</f>
        <v>1</v>
      </c>
      <c r="J10">
        <f>('[1]RAW DATA '!J12-MIN('[1]RAW DATA '!J:J))/(MAX('[1]RAW DATA '!J:J)-MIN('[1]RAW DATA '!J:J))</f>
        <v>0.29032258064516131</v>
      </c>
      <c r="K10">
        <f t="shared" si="0"/>
        <v>0.57586204258489448</v>
      </c>
    </row>
    <row r="11" spans="1:11" x14ac:dyDescent="0.35">
      <c r="A11" s="2" t="s">
        <v>17</v>
      </c>
      <c r="B11">
        <f>('[1]RAW DATA '!B9 - MIN('[1]RAW DATA '!B:B)) / (MAX('[1]RAW DATA '!B:B) - MIN('[1]RAW DATA '!B:B))</f>
        <v>0.95585091351554596</v>
      </c>
      <c r="C11">
        <f>('[1]RAW DATA '!C9-MIN('[1]RAW DATA '!C:C))/(MAX('[1]RAW DATA '!C:C)-MIN('[1]RAW DATA '!C:C))</f>
        <v>0.1867881548974944</v>
      </c>
      <c r="D11">
        <f>('[1]RAW DATA '!D9-MIN('[1]RAW DATA '!D:D))/(MAX('[1]RAW DATA '!D:D)-MIN('[1]RAW DATA '!D:D))</f>
        <v>0.96289189814328069</v>
      </c>
      <c r="E11">
        <f>(MAX('[1]RAW DATA '!E:E)-'[1]RAW DATA '!E9)/(MAX('[1]RAW DATA '!E:E)-MIN('[1]RAW DATA '!E:E))</f>
        <v>0.76470588235294112</v>
      </c>
      <c r="F11">
        <f>('[1]RAW DATA '!F9-MIN('[1]RAW DATA '!F:F))/(MAX('[1]RAW DATA '!F:F)-MIN('[1]RAW DATA '!F:F))</f>
        <v>0.31764705882352939</v>
      </c>
      <c r="G11">
        <f>('[1]RAW DATA '!G9-MIN('[1]RAW DATA '!G:G))/(MAX('[1]RAW DATA '!G:G)-MIN('[1]RAW DATA '!G:G))</f>
        <v>0.38709677419354838</v>
      </c>
      <c r="H11">
        <f>('[1]RAW DATA '!H9-MIN('[1]RAW DATA '!H:H))/(MAX('[1]RAW DATA '!H:H)-MIN('[1]RAW DATA '!H:H))</f>
        <v>0.74999999999999978</v>
      </c>
      <c r="I11" s="8">
        <f>('[1]RAW DATA '!I8-MIN('[1]RAW DATA '!I:I))/(MAX('[1]RAW DATA '!I:I)-MIN('[1]RAW DATA '!I:I))</f>
        <v>-3.6666666666666665</v>
      </c>
      <c r="J11">
        <f>('[1]RAW DATA '!J9-MIN('[1]RAW DATA '!J:J))/(MAX('[1]RAW DATA '!J:J)-MIN('[1]RAW DATA '!J:J))</f>
        <v>0.38709677419354838</v>
      </c>
      <c r="K11">
        <f t="shared" si="0"/>
        <v>0.20012617029687674</v>
      </c>
    </row>
    <row r="12" spans="1:11" x14ac:dyDescent="0.35">
      <c r="A12" s="2" t="s">
        <v>24</v>
      </c>
      <c r="B12">
        <f>('[1]RAW DATA '!B16 - MIN('[1]RAW DATA '!B:B)) / (MAX('[1]RAW DATA '!B:B) - MIN('[1]RAW DATA '!B:B))</f>
        <v>0.21138957590364824</v>
      </c>
      <c r="C12">
        <f>('[1]RAW DATA '!C16-MIN('[1]RAW DATA '!C:C))/(MAX('[1]RAW DATA '!C:C)-MIN('[1]RAW DATA '!C:C))</f>
        <v>0.32346241457858771</v>
      </c>
      <c r="D12">
        <f>('[1]RAW DATA '!D16-MIN('[1]RAW DATA '!D:D))/(MAX('[1]RAW DATA '!D:D)-MIN('[1]RAW DATA '!D:D))</f>
        <v>0.29106650966208969</v>
      </c>
      <c r="E12">
        <f>(MAX('[1]RAW DATA '!E:E)-'[1]RAW DATA '!E16)/(MAX('[1]RAW DATA '!E:E)-MIN('[1]RAW DATA '!E:E))</f>
        <v>0.95475113122171951</v>
      </c>
      <c r="F12">
        <f>('[1]RAW DATA '!F16-MIN('[1]RAW DATA '!F:F))/(MAX('[1]RAW DATA '!F:F)-MIN('[1]RAW DATA '!F:F))</f>
        <v>0.29411764705882354</v>
      </c>
      <c r="G12">
        <f>('[1]RAW DATA '!G16-MIN('[1]RAW DATA '!G:G))/(MAX('[1]RAW DATA '!G:G)-MIN('[1]RAW DATA '!G:G))</f>
        <v>0.27741935483870966</v>
      </c>
      <c r="H12">
        <f>('[1]RAW DATA '!H16-MIN('[1]RAW DATA '!H:H))/(MAX('[1]RAW DATA '!H:H)-MIN('[1]RAW DATA '!H:H))</f>
        <v>0.50000000000000011</v>
      </c>
      <c r="I12" s="8">
        <f>('[1]RAW DATA '!I15-MIN('[1]RAW DATA '!I:I))/(MAX('[1]RAW DATA '!I:I)-MIN('[1]RAW DATA '!I:I))</f>
        <v>0.66666666666666663</v>
      </c>
      <c r="J12">
        <f>('[1]RAW DATA '!J16-MIN('[1]RAW DATA '!J:J))/(MAX('[1]RAW DATA '!J:J)-MIN('[1]RAW DATA '!J:J))</f>
        <v>-2.032258064516129</v>
      </c>
      <c r="K12">
        <f t="shared" si="0"/>
        <v>0.16980048113177648</v>
      </c>
    </row>
    <row r="13" spans="1:11" x14ac:dyDescent="0.35">
      <c r="A13" s="2" t="s">
        <v>16</v>
      </c>
      <c r="B13">
        <f>('[1]RAW DATA '!B8 - MIN('[1]RAW DATA '!B:B)) / (MAX('[1]RAW DATA '!B:B) - MIN('[1]RAW DATA '!B:B))</f>
        <v>0.53353138042089676</v>
      </c>
      <c r="C13">
        <f>('[1]RAW DATA '!C8-MIN('[1]RAW DATA '!C:C))/(MAX('[1]RAW DATA '!C:C)-MIN('[1]RAW DATA '!C:C))</f>
        <v>0.40660592255125289</v>
      </c>
      <c r="D13">
        <f>('[1]RAW DATA '!D8-MIN('[1]RAW DATA '!D:D))/(MAX('[1]RAW DATA '!D:D)-MIN('[1]RAW DATA '!D:D))</f>
        <v>0.19789410602014426</v>
      </c>
      <c r="E13">
        <f>(MAX('[1]RAW DATA '!E:E)-'[1]RAW DATA '!E8)/(MAX('[1]RAW DATA '!E:E)-MIN('[1]RAW DATA '!E:E))</f>
        <v>0.70588235294117652</v>
      </c>
      <c r="F13">
        <f>('[1]RAW DATA '!F8-MIN('[1]RAW DATA '!F:F))/(MAX('[1]RAW DATA '!F:F)-MIN('[1]RAW DATA '!F:F))</f>
        <v>0.15294117647058825</v>
      </c>
      <c r="G13">
        <f>('[1]RAW DATA '!G8-MIN('[1]RAW DATA '!G:G))/(MAX('[1]RAW DATA '!G:G)-MIN('[1]RAW DATA '!G:G))</f>
        <v>0.12903225806451613</v>
      </c>
      <c r="H13">
        <f>('[1]RAW DATA '!H8-MIN('[1]RAW DATA '!H:H))/(MAX('[1]RAW DATA '!H:H)-MIN('[1]RAW DATA '!H:H))</f>
        <v>0.18750000000000017</v>
      </c>
      <c r="I13" s="8">
        <f>('[1]RAW DATA '!I7-MIN('[1]RAW DATA '!I:I))/(MAX('[1]RAW DATA '!I:I)-MIN('[1]RAW DATA '!I:I))</f>
        <v>0.52380952380952384</v>
      </c>
      <c r="J13">
        <f>('[1]RAW DATA '!J8-MIN('[1]RAW DATA '!J:J))/(MAX('[1]RAW DATA '!J:J)-MIN('[1]RAW DATA '!J:J))</f>
        <v>-2.032258064516129</v>
      </c>
      <c r="K13">
        <f t="shared" si="0"/>
        <v>0.13384700361828672</v>
      </c>
    </row>
    <row r="14" spans="1:11" x14ac:dyDescent="0.35">
      <c r="A14" s="2" t="s">
        <v>23</v>
      </c>
      <c r="B14">
        <f>('[1]RAW DATA '!B15 - MIN('[1]RAW DATA '!B:B)) / (MAX('[1]RAW DATA '!B:B) - MIN('[1]RAW DATA '!B:B))</f>
        <v>0.35519838572939949</v>
      </c>
      <c r="C14">
        <f>('[1]RAW DATA '!C15-MIN('[1]RAW DATA '!C:C))/(MAX('[1]RAW DATA '!C:C)-MIN('[1]RAW DATA '!C:C))</f>
        <v>0.31435079726651483</v>
      </c>
      <c r="D14">
        <f>('[1]RAW DATA '!D15-MIN('[1]RAW DATA '!D:D))/(MAX('[1]RAW DATA '!D:D)-MIN('[1]RAW DATA '!D:D))</f>
        <v>0.93667073196374873</v>
      </c>
      <c r="E14">
        <f>(MAX('[1]RAW DATA '!E:E)-'[1]RAW DATA '!E15)/(MAX('[1]RAW DATA '!E:E)-MIN('[1]RAW DATA '!E:E))</f>
        <v>0.94570135746606332</v>
      </c>
      <c r="F14">
        <f>('[1]RAW DATA '!F15-MIN('[1]RAW DATA '!F:F))/(MAX('[1]RAW DATA '!F:F)-MIN('[1]RAW DATA '!F:F))</f>
        <v>0.27058823529411763</v>
      </c>
      <c r="G14">
        <f>('[1]RAW DATA '!G15-MIN('[1]RAW DATA '!G:G))/(MAX('[1]RAW DATA '!G:G)-MIN('[1]RAW DATA '!G:G))</f>
        <v>0.29032258064516131</v>
      </c>
      <c r="H14">
        <f>('[1]RAW DATA '!H15-MIN('[1]RAW DATA '!H:H))/(MAX('[1]RAW DATA '!H:H)-MIN('[1]RAW DATA '!H:H))</f>
        <v>0.625</v>
      </c>
      <c r="I14" s="8">
        <f>('[1]RAW DATA '!I14-MIN('[1]RAW DATA '!I:I))/(MAX('[1]RAW DATA '!I:I)-MIN('[1]RAW DATA '!I:I))</f>
        <v>-3.6666666666666665</v>
      </c>
      <c r="J14">
        <f>('[1]RAW DATA '!J15-MIN('[1]RAW DATA '!J:J))/(MAX('[1]RAW DATA '!J:J)-MIN('[1]RAW DATA '!J:J))</f>
        <v>0.41935483870967744</v>
      </c>
      <c r="K14">
        <f t="shared" si="0"/>
        <v>8.4571864613741554E-2</v>
      </c>
    </row>
    <row r="15" spans="1:11" x14ac:dyDescent="0.35">
      <c r="A15" s="2" t="s">
        <v>19</v>
      </c>
      <c r="B15">
        <f>('[1]RAW DATA '!B11 - MIN('[1]RAW DATA '!B:B)) / (MAX('[1]RAW DATA '!B:B) - MIN('[1]RAW DATA '!B:B))</f>
        <v>0.50441985982563453</v>
      </c>
      <c r="C15">
        <f>('[1]RAW DATA '!C11-MIN('[1]RAW DATA '!C:C))/(MAX('[1]RAW DATA '!C:C)-MIN('[1]RAW DATA '!C:C))</f>
        <v>0</v>
      </c>
      <c r="D15">
        <f>('[1]RAW DATA '!D11-MIN('[1]RAW DATA '!D:D))/(MAX('[1]RAW DATA '!D:D)-MIN('[1]RAW DATA '!D:D))</f>
        <v>0.53101541308324751</v>
      </c>
      <c r="E15">
        <f>(MAX('[1]RAW DATA '!E:E)-'[1]RAW DATA '!E11)/(MAX('[1]RAW DATA '!E:E)-MIN('[1]RAW DATA '!E:E))</f>
        <v>0.84615384615384615</v>
      </c>
      <c r="F15">
        <f>('[1]RAW DATA '!F11-MIN('[1]RAW DATA '!F:F))/(MAX('[1]RAW DATA '!F:F)-MIN('[1]RAW DATA '!F:F))</f>
        <v>-0.14117647058823529</v>
      </c>
      <c r="G15">
        <f>('[1]RAW DATA '!G11-MIN('[1]RAW DATA '!G:G))/(MAX('[1]RAW DATA '!G:G)-MIN('[1]RAW DATA '!G:G))</f>
        <v>-0.41935483870967744</v>
      </c>
      <c r="H15">
        <f>('[1]RAW DATA '!H11-MIN('[1]RAW DATA '!H:H))/(MAX('[1]RAW DATA '!H:H)-MIN('[1]RAW DATA '!H:H))</f>
        <v>-1.8124999999999998</v>
      </c>
      <c r="I15" s="8">
        <f>('[1]RAW DATA '!I10-MIN('[1]RAW DATA '!I:I))/(MAX('[1]RAW DATA '!I:I)-MIN('[1]RAW DATA '!I:I))</f>
        <v>0.7142857142857143</v>
      </c>
      <c r="J15">
        <f>('[1]RAW DATA '!J11-MIN('[1]RAW DATA '!J:J))/(MAX('[1]RAW DATA '!J:J)-MIN('[1]RAW DATA '!J:J))</f>
        <v>-2.032258064516129</v>
      </c>
      <c r="K15">
        <f t="shared" si="0"/>
        <v>-0.13049946806399648</v>
      </c>
    </row>
    <row r="16" spans="1:11" x14ac:dyDescent="0.35">
      <c r="A16" s="2" t="s">
        <v>13</v>
      </c>
      <c r="B16">
        <f>('[1]RAW DATA '!B5 - MIN('[1]RAW DATA '!B:B)) / (MAX('[1]RAW DATA '!B:B) - MIN('[1]RAW DATA '!B:B))</f>
        <v>0.61094210158787987</v>
      </c>
      <c r="C16">
        <f>('[1]RAW DATA '!C5-MIN('[1]RAW DATA '!C:C))/(MAX('[1]RAW DATA '!C:C)-MIN('[1]RAW DATA '!C:C))</f>
        <v>4.1002277904328158E-2</v>
      </c>
      <c r="D16">
        <f>('[1]RAW DATA '!D5-MIN('[1]RAW DATA '!D:D))/(MAX('[1]RAW DATA '!D:D)-MIN('[1]RAW DATA '!D:D))</f>
        <v>0.12021889522047227</v>
      </c>
      <c r="E16">
        <f>(MAX('[1]RAW DATA '!E:E)-'[1]RAW DATA '!E5)/(MAX('[1]RAW DATA '!E:E)-MIN('[1]RAW DATA '!E:E))</f>
        <v>0.62895927601809953</v>
      </c>
      <c r="F16">
        <f>('[1]RAW DATA '!F5-MIN('[1]RAW DATA '!F:F))/(MAX('[1]RAW DATA '!F:F)-MIN('[1]RAW DATA '!F:F))</f>
        <v>0.22352941176470589</v>
      </c>
      <c r="G16">
        <f>('[1]RAW DATA '!G5-MIN('[1]RAW DATA '!G:G))/(MAX('[1]RAW DATA '!G:G)-MIN('[1]RAW DATA '!G:G))</f>
        <v>0.16129032258064516</v>
      </c>
      <c r="H16">
        <f>('[1]RAW DATA '!H5-MIN('[1]RAW DATA '!H:H))/(MAX('[1]RAW DATA '!H:H)-MIN('[1]RAW DATA '!H:H))</f>
        <v>-1.8124999999999998</v>
      </c>
      <c r="I16" s="8">
        <f>('[1]RAW DATA '!I4-MIN('[1]RAW DATA '!I:I))/(MAX('[1]RAW DATA '!I:I)-MIN('[1]RAW DATA '!I:I))</f>
        <v>0</v>
      </c>
      <c r="J16">
        <f>('[1]RAW DATA '!J5-MIN('[1]RAW DATA '!J:J))/(MAX('[1]RAW DATA '!J:J)-MIN('[1]RAW DATA '!J:J))</f>
        <v>-2.032258064516129</v>
      </c>
      <c r="K16">
        <f t="shared" si="0"/>
        <v>-0.14478736778521187</v>
      </c>
    </row>
    <row r="17" spans="1:11" x14ac:dyDescent="0.35">
      <c r="A17" s="2" t="s">
        <v>14</v>
      </c>
      <c r="B17">
        <f>('[1]RAW DATA '!B6 - MIN('[1]RAW DATA '!B:B)) / (MAX('[1]RAW DATA '!B:B) - MIN('[1]RAW DATA '!B:B))</f>
        <v>0.47777084924366098</v>
      </c>
      <c r="C17">
        <f>('[1]RAW DATA '!C6-MIN('[1]RAW DATA '!C:C))/(MAX('[1]RAW DATA '!C:C)-MIN('[1]RAW DATA '!C:C))</f>
        <v>0.25056947608200469</v>
      </c>
      <c r="D17">
        <f>('[1]RAW DATA '!D6-MIN('[1]RAW DATA '!D:D))/(MAX('[1]RAW DATA '!D:D)-MIN('[1]RAW DATA '!D:D))</f>
        <v>0.11606598397712219</v>
      </c>
      <c r="E17">
        <f>(MAX('[1]RAW DATA '!E:E)-'[1]RAW DATA '!E6)/(MAX('[1]RAW DATA '!E:E)-MIN('[1]RAW DATA '!E:E))</f>
        <v>0.68325791855203621</v>
      </c>
      <c r="F17">
        <f>('[1]RAW DATA '!F6-MIN('[1]RAW DATA '!F:F))/(MAX('[1]RAW DATA '!F:F)-MIN('[1]RAW DATA '!F:F))</f>
        <v>0.18823529411764706</v>
      </c>
      <c r="G17">
        <f>('[1]RAW DATA '!G6-MIN('[1]RAW DATA '!G:G))/(MAX('[1]RAW DATA '!G:G)-MIN('[1]RAW DATA '!G:G))</f>
        <v>0.10967741935483871</v>
      </c>
      <c r="H17">
        <f>('[1]RAW DATA '!H6-MIN('[1]RAW DATA '!H:H))/(MAX('[1]RAW DATA '!H:H)-MIN('[1]RAW DATA '!H:H))</f>
        <v>0.24999999999999994</v>
      </c>
      <c r="I17" s="8">
        <f>('[1]RAW DATA '!I5-MIN('[1]RAW DATA '!I:I))/(MAX('[1]RAW DATA '!I:I)-MIN('[1]RAW DATA '!I:I))</f>
        <v>-3.6666666666666665</v>
      </c>
      <c r="J17">
        <f>('[1]RAW DATA '!J6-MIN('[1]RAW DATA '!J:J))/(MAX('[1]RAW DATA '!J:J)-MIN('[1]RAW DATA '!J:J))</f>
        <v>-2.032258064516129</v>
      </c>
      <c r="K17">
        <f t="shared" si="0"/>
        <v>-0.3145576940611825</v>
      </c>
    </row>
    <row r="18" spans="1:11" x14ac:dyDescent="0.35">
      <c r="A18" s="2" t="s">
        <v>26</v>
      </c>
      <c r="B18">
        <f>('[1]RAW DATA '!B18 - MIN('[1]RAW DATA '!B:B)) / (MAX('[1]RAW DATA '!B:B) - MIN('[1]RAW DATA '!B:B))</f>
        <v>0.12590843591845505</v>
      </c>
      <c r="C18">
        <f>('[1]RAW DATA '!C18-MIN('[1]RAW DATA '!C:C))/(MAX('[1]RAW DATA '!C:C)-MIN('[1]RAW DATA '!C:C))</f>
        <v>1</v>
      </c>
      <c r="D18">
        <f>('[1]RAW DATA '!D18-MIN('[1]RAW DATA '!D:D))/(MAX('[1]RAW DATA '!D:D)-MIN('[1]RAW DATA '!D:D))</f>
        <v>0</v>
      </c>
      <c r="E18">
        <f>(MAX('[1]RAW DATA '!E:E)-'[1]RAW DATA '!E18)/(MAX('[1]RAW DATA '!E:E)-MIN('[1]RAW DATA '!E:E))</f>
        <v>0.92760180995475117</v>
      </c>
      <c r="F18">
        <f>('[1]RAW DATA '!F18-MIN('[1]RAW DATA '!F:F))/(MAX('[1]RAW DATA '!F:F)-MIN('[1]RAW DATA '!F:F))</f>
        <v>3.5294117647058823E-2</v>
      </c>
      <c r="G18">
        <f>('[1]RAW DATA '!G18-MIN('[1]RAW DATA '!G:G))/(MAX('[1]RAW DATA '!G:G)-MIN('[1]RAW DATA '!G:G))</f>
        <v>0</v>
      </c>
      <c r="H18">
        <f>('[1]RAW DATA '!H18-MIN('[1]RAW DATA '!H:H))/(MAX('[1]RAW DATA '!H:H)-MIN('[1]RAW DATA '!H:H))</f>
        <v>-1.8124999999999998</v>
      </c>
      <c r="I18" s="8">
        <f>('[1]RAW DATA '!I17-MIN('[1]RAW DATA '!I:I))/(MAX('[1]RAW DATA '!I:I)-MIN('[1]RAW DATA '!I:I))</f>
        <v>-3.6666666666666665</v>
      </c>
      <c r="J18">
        <f>('[1]RAW DATA '!J18-MIN('[1]RAW DATA '!J:J))/(MAX('[1]RAW DATA '!J:J)-MIN('[1]RAW DATA '!J:J))</f>
        <v>-2.032258064516129</v>
      </c>
      <c r="K18">
        <f t="shared" si="0"/>
        <v>-0.52967119317440758</v>
      </c>
    </row>
    <row r="19" spans="1:11" x14ac:dyDescent="0.35">
      <c r="A19" s="2" t="s">
        <v>22</v>
      </c>
      <c r="B19">
        <f>('[1]RAW DATA '!B14 - MIN('[1]RAW DATA '!B:B)) / (MAX('[1]RAW DATA '!B:B) - MIN('[1]RAW DATA '!B:B))</f>
        <v>0.24735707562923157</v>
      </c>
      <c r="C19">
        <f>('[1]RAW DATA '!C14-MIN('[1]RAW DATA '!C:C))/(MAX('[1]RAW DATA '!C:C)-MIN('[1]RAW DATA '!C:C))</f>
        <v>0.35307517084282458</v>
      </c>
      <c r="D19">
        <f>('[1]RAW DATA '!D14-MIN('[1]RAW DATA '!D:D))/(MAX('[1]RAW DATA '!D:D)-MIN('[1]RAW DATA '!D:D))</f>
        <v>0.16912336774817588</v>
      </c>
      <c r="E19">
        <f>(MAX('[1]RAW DATA '!E:E)-'[1]RAW DATA '!E14)/(MAX('[1]RAW DATA '!E:E)-MIN('[1]RAW DATA '!E:E))</f>
        <v>0.87782805429864252</v>
      </c>
      <c r="F19">
        <f>('[1]RAW DATA '!F14-MIN('[1]RAW DATA '!F:F))/(MAX('[1]RAW DATA '!F:F)-MIN('[1]RAW DATA '!F:F))</f>
        <v>5.8823529411764705E-2</v>
      </c>
      <c r="G19">
        <f>('[1]RAW DATA '!G14-MIN('[1]RAW DATA '!G:G))/(MAX('[1]RAW DATA '!G:G)-MIN('[1]RAW DATA '!G:G))</f>
        <v>6.4516129032258063E-2</v>
      </c>
      <c r="H19">
        <f>('[1]RAW DATA '!H14-MIN('[1]RAW DATA '!H:H))/(MAX('[1]RAW DATA '!H:H)-MIN('[1]RAW DATA '!H:H))</f>
        <v>-1.8124999999999998</v>
      </c>
      <c r="I19" s="8">
        <f>('[1]RAW DATA '!I13-MIN('[1]RAW DATA '!I:I))/(MAX('[1]RAW DATA '!I:I)-MIN('[1]RAW DATA '!I:I))</f>
        <v>-3.6666666666666665</v>
      </c>
      <c r="J19">
        <f>('[1]RAW DATA '!J14-MIN('[1]RAW DATA '!J:J))/(MAX('[1]RAW DATA '!J:J)-MIN('[1]RAW DATA '!J:J))</f>
        <v>-2.032258064516129</v>
      </c>
      <c r="K19">
        <f t="shared" si="0"/>
        <v>-0.54933443285906669</v>
      </c>
    </row>
    <row r="20" spans="1:11" x14ac:dyDescent="0.35">
      <c r="A20" s="2" t="s">
        <v>27</v>
      </c>
      <c r="B20">
        <f>('[1]RAW DATA '!B19 - MIN('[1]RAW DATA '!B:B)) / (MAX('[1]RAW DATA '!B:B) - MIN('[1]RAW DATA '!B:B))</f>
        <v>0.11247112786415091</v>
      </c>
      <c r="C20">
        <f>('[1]RAW DATA '!C19-MIN('[1]RAW DATA '!C:C))/(MAX('[1]RAW DATA '!C:C)-MIN('[1]RAW DATA '!C:C))</f>
        <v>0.34168564920273353</v>
      </c>
      <c r="D20">
        <f>('[1]RAW DATA '!D19-MIN('[1]RAW DATA '!D:D))/(MAX('[1]RAW DATA '!D:D)-MIN('[1]RAW DATA '!D:D))</f>
        <v>8.0923943898900272E-2</v>
      </c>
      <c r="E20">
        <f>(MAX('[1]RAW DATA '!E:E)-'[1]RAW DATA '!E19)/(MAX('[1]RAW DATA '!E:E)-MIN('[1]RAW DATA '!E:E))</f>
        <v>0.94570135746606332</v>
      </c>
      <c r="F20">
        <f>('[1]RAW DATA '!F19-MIN('[1]RAW DATA '!F:F))/(MAX('[1]RAW DATA '!F:F)-MIN('[1]RAW DATA '!F:F))</f>
        <v>0.12941176470588237</v>
      </c>
      <c r="G20">
        <f>('[1]RAW DATA '!G19-MIN('[1]RAW DATA '!G:G))/(MAX('[1]RAW DATA '!G:G)-MIN('[1]RAW DATA '!G:G))</f>
        <v>3.2258064516129031E-2</v>
      </c>
      <c r="H20">
        <f>('[1]RAW DATA '!H19-MIN('[1]RAW DATA '!H:H))/(MAX('[1]RAW DATA '!H:H)-MIN('[1]RAW DATA '!H:H))</f>
        <v>-1.8124999999999998</v>
      </c>
      <c r="I20" s="8">
        <f>('[1]RAW DATA '!I18-MIN('[1]RAW DATA '!I:I))/(MAX('[1]RAW DATA '!I:I)-MIN('[1]RAW DATA '!I:I))</f>
        <v>-3.6666666666666665</v>
      </c>
      <c r="J20">
        <f>('[1]RAW DATA '!J19-MIN('[1]RAW DATA '!J:J))/(MAX('[1]RAW DATA '!J:J)-MIN('[1]RAW DATA '!J:J))</f>
        <v>-2.032258064516129</v>
      </c>
      <c r="K20">
        <f t="shared" si="0"/>
        <v>-0.57565016956647863</v>
      </c>
    </row>
    <row r="21" spans="1:11" x14ac:dyDescent="0.35">
      <c r="A21" s="2"/>
    </row>
    <row r="22" spans="1:11" x14ac:dyDescent="0.35">
      <c r="A22" s="2"/>
    </row>
  </sheetData>
  <sortState ref="A2:K20">
    <sortCondition descending="1" ref="K5"/>
  </sortState>
  <conditionalFormatting sqref="L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">
    <cfRule type="top10" dxfId="2" priority="3" percent="1" rank="10"/>
  </conditionalFormatting>
  <conditionalFormatting sqref="K1:K1048576">
    <cfRule type="top10" dxfId="1" priority="2" rank="10"/>
  </conditionalFormatting>
  <conditionalFormatting sqref="A1:A1048576">
    <cfRule type="top10" dxfId="0" priority="1" bottom="1" rank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 </vt:lpstr>
      <vt:lpstr>NORMALIZATION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</dc:creator>
  <cp:lastModifiedBy>Vansh</cp:lastModifiedBy>
  <dcterms:created xsi:type="dcterms:W3CDTF">2025-11-11T09:02:20Z</dcterms:created>
  <dcterms:modified xsi:type="dcterms:W3CDTF">2025-11-13T10:44:59Z</dcterms:modified>
</cp:coreProperties>
</file>